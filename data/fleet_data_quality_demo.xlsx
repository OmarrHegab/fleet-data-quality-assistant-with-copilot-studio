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arh\Downloads\"/>
    </mc:Choice>
  </mc:AlternateContent>
  <xr:revisionPtr revIDLastSave="0" documentId="13_ncr:1_{64B5236A-ABCF-450E-85CA-3ADB18B039D4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README" sheetId="1" r:id="rId1"/>
    <sheet name="System_A_Fleet_Master" sheetId="2" r:id="rId2"/>
    <sheet name="System_B_Contract_Data" sheetId="3" r:id="rId3"/>
    <sheet name="Detected_Issues" sheetId="4" r:id="rId4"/>
    <sheet name="Technical_Email_Notes" sheetId="5" r:id="rId5"/>
    <sheet name="Demo_Prompts" sheetId="6" r:id="rId6"/>
    <sheet name="Manager_Repo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7" i="7"/>
  <c r="E6" i="7"/>
  <c r="B6" i="7"/>
  <c r="E5" i="7"/>
  <c r="B5" i="7"/>
  <c r="E4" i="7"/>
  <c r="B4" i="7"/>
</calcChain>
</file>

<file path=xl/sharedStrings.xml><?xml version="1.0" encoding="utf-8"?>
<sst xmlns="http://schemas.openxmlformats.org/spreadsheetml/2006/main" count="317" uniqueCount="164">
  <si>
    <t>Fleet Data Quality Assistant - Synthetic Demo Data</t>
  </si>
  <si>
    <t>Purpose</t>
  </si>
  <si>
    <t>This workbook contains fully synthetic fleet-management data for an interview demo. It is designed for a Copilot Studio / Microsoft 365 Copilot agent that compares two fleet systems, identifies inconsistencies, prioritizes them, and creates a short fleet data quality report.</t>
  </si>
  <si>
    <t>Important</t>
  </si>
  <si>
    <t>No real Siemens Energy, Fraunhofer, university, customer, contract, or technical data is used.</t>
  </si>
  <si>
    <t>Main demo question 1</t>
  </si>
  <si>
    <t>Compare System A and System B and show me all fleet data inconsistencies.</t>
  </si>
  <si>
    <t>Main demo question 2</t>
  </si>
  <si>
    <t>Prioritize the inconsistencies by business impact.</t>
  </si>
  <si>
    <t>Main demo question 3</t>
  </si>
  <si>
    <t>Create a short fleet data quality report for a manager.</t>
  </si>
  <si>
    <t>Optional demo question</t>
  </si>
  <si>
    <t>Summarize the technical email notes and explain which fleet records should be updated.</t>
  </si>
  <si>
    <t>Recommended agent name</t>
  </si>
  <si>
    <t>Fleet Data Quality Assistant</t>
  </si>
  <si>
    <t>Plant_ID</t>
  </si>
  <si>
    <t>Plant_Name</t>
  </si>
  <si>
    <t>Country</t>
  </si>
  <si>
    <t>Region</t>
  </si>
  <si>
    <t>Technology</t>
  </si>
  <si>
    <t>Turbine_Type</t>
  </si>
  <si>
    <t>Contract_End</t>
  </si>
  <si>
    <t>Status</t>
  </si>
  <si>
    <t>Responsible_Team</t>
  </si>
  <si>
    <t>Last_Update</t>
  </si>
  <si>
    <t>P001</t>
  </si>
  <si>
    <t>Berlin CCGT</t>
  </si>
  <si>
    <t>Germany</t>
  </si>
  <si>
    <t>Europe</t>
  </si>
  <si>
    <t>CCGT</t>
  </si>
  <si>
    <t>SGT-800</t>
  </si>
  <si>
    <t>Active</t>
  </si>
  <si>
    <t>Service Europe</t>
  </si>
  <si>
    <t>P002</t>
  </si>
  <si>
    <t>Cairo West</t>
  </si>
  <si>
    <t>Egypt</t>
  </si>
  <si>
    <t>Africa</t>
  </si>
  <si>
    <t>SGT5-4000F</t>
  </si>
  <si>
    <t>Service Africa</t>
  </si>
  <si>
    <t>P003</t>
  </si>
  <si>
    <t>Rabat Power</t>
  </si>
  <si>
    <t>Morocco</t>
  </si>
  <si>
    <t>Gas Turbine</t>
  </si>
  <si>
    <t>SGT-700</t>
  </si>
  <si>
    <t>Review</t>
  </si>
  <si>
    <t>P004</t>
  </si>
  <si>
    <t>Hamburg CHP</t>
  </si>
  <si>
    <t>CHP</t>
  </si>
  <si>
    <t>SGT-400</t>
  </si>
  <si>
    <t>P005</t>
  </si>
  <si>
    <t>Madrid North</t>
  </si>
  <si>
    <t>Spain</t>
  </si>
  <si>
    <t>SGT5-2000E</t>
  </si>
  <si>
    <t>Pending</t>
  </si>
  <si>
    <t>P006</t>
  </si>
  <si>
    <t>Lagos GT</t>
  </si>
  <si>
    <t>Nigeria</t>
  </si>
  <si>
    <t>SGT-600</t>
  </si>
  <si>
    <t>P007</t>
  </si>
  <si>
    <t>Munich South</t>
  </si>
  <si>
    <t>Steam</t>
  </si>
  <si>
    <t>SST-600</t>
  </si>
  <si>
    <t>P008</t>
  </si>
  <si>
    <t>Casablanca CCGT</t>
  </si>
  <si>
    <t>Rabat Power Plant</t>
  </si>
  <si>
    <t>Service EMEA</t>
  </si>
  <si>
    <t>Maintenance</t>
  </si>
  <si>
    <t>Issue_ID</t>
  </si>
  <si>
    <t>Field</t>
  </si>
  <si>
    <t>System_A_Value</t>
  </si>
  <si>
    <t>System_B_Value</t>
  </si>
  <si>
    <t>Priority</t>
  </si>
  <si>
    <t>Business_Impact</t>
  </si>
  <si>
    <t>Recommended_Action</t>
  </si>
  <si>
    <t>Owner</t>
  </si>
  <si>
    <t>I001</t>
  </si>
  <si>
    <t>2028-06-30</t>
  </si>
  <si>
    <t>2028-09-30</t>
  </si>
  <si>
    <t>High</t>
  </si>
  <si>
    <t>Incorrect contract end dates can affect long-term maintenance planning and fleet reporting.</t>
  </si>
  <si>
    <t>Verify contract end date with responsible contract manager before updating report.</t>
  </si>
  <si>
    <t>Open</t>
  </si>
  <si>
    <t>I002</t>
  </si>
  <si>
    <t>Low</t>
  </si>
  <si>
    <t>Naming differences can cause duplicate records or search/reporting confusion.</t>
  </si>
  <si>
    <t>Standardize naming convention after confirmation.</t>
  </si>
  <si>
    <t>I003</t>
  </si>
  <si>
    <t>2026-09-30</t>
  </si>
  <si>
    <t>2030-09-30</t>
  </si>
  <si>
    <t>Potential contract extension is not reflected consistently across systems.</t>
  </si>
  <si>
    <t>Confirm extension and update master data before fleet report.</t>
  </si>
  <si>
    <t>I004</t>
  </si>
  <si>
    <t>Medium</t>
  </si>
  <si>
    <t>Different status values can cause inaccurate operational or commercial reporting.</t>
  </si>
  <si>
    <t>Clarify status with responsible technical expert.</t>
  </si>
  <si>
    <t>I005</t>
  </si>
  <si>
    <t>2025-12-31</t>
  </si>
  <si>
    <t>2026-12-31</t>
  </si>
  <si>
    <t>Expired vs. extended contract information changes report conclusions.</t>
  </si>
  <si>
    <t>Check latest contract document and update System A if confirmed.</t>
  </si>
  <si>
    <t>I006</t>
  </si>
  <si>
    <t>Pending vs. active status can affect workload and service planning.</t>
  </si>
  <si>
    <t>Ask contract owner whether activation was confirmed.</t>
  </si>
  <si>
    <t>I007</t>
  </si>
  <si>
    <t>Different ownership can delay issue resolution and accountability.</t>
  </si>
  <si>
    <t>Confirm owning team and synchronize responsibility field.</t>
  </si>
  <si>
    <t>I008</t>
  </si>
  <si>
    <t>Maintenance status impacts operational reporting and service planning.</t>
  </si>
  <si>
    <t>Check maintenance schedule and update both systems consistently.</t>
  </si>
  <si>
    <t>Email_ID</t>
  </si>
  <si>
    <t>From</t>
  </si>
  <si>
    <t>Subject</t>
  </si>
  <si>
    <t>Date</t>
  </si>
  <si>
    <t>Relevant_Plant_ID</t>
  </si>
  <si>
    <t>Email_Text</t>
  </si>
  <si>
    <t>Expected_Copilot_Conclusion</t>
  </si>
  <si>
    <t>E001</t>
  </si>
  <si>
    <t>contract.manager@example.com</t>
  </si>
  <si>
    <t>Contract extension confirmation for Rabat Power</t>
  </si>
  <si>
    <t>The service contract for Rabat Power was extended until 2030-09-30. Please make sure the fleet report uses the updated contract end date after final confirmation.</t>
  </si>
  <si>
    <t>P003 likely needs Contract_End updated to 2030-09-30 after confirmation. This supports issue I003.</t>
  </si>
  <si>
    <t>E002</t>
  </si>
  <si>
    <t>fleet.operations@example.com</t>
  </si>
  <si>
    <t>Casablanca maintenance status</t>
  </si>
  <si>
    <t>Casablanca CCGT is currently in maintenance mode. The operational status should not be shown as fully active in the upcoming fleet overview.</t>
  </si>
  <si>
    <t>P008 status should be reviewed. This supports issue I008.</t>
  </si>
  <si>
    <t>E003</t>
  </si>
  <si>
    <t>service.europe@example.com</t>
  </si>
  <si>
    <t>Madrid North activation</t>
  </si>
  <si>
    <t>The Madrid North service contract is now active and should appear in the fleet reporting package as active for the next review.</t>
  </si>
  <si>
    <t>P005 status should be reviewed; System B shows Active while System A shows Pending. This supports issue I006.</t>
  </si>
  <si>
    <t>Prompt_ID</t>
  </si>
  <si>
    <t>Prompt_to_Show_in_Interview</t>
  </si>
  <si>
    <t>What_Good_Answer_Should_Do</t>
  </si>
  <si>
    <t>P01</t>
  </si>
  <si>
    <t>Compare System A and System B. Which fleet data inconsistencies exist?</t>
  </si>
  <si>
    <t>List detected issues by Plant_ID, field, values in each system, and a short explanation.</t>
  </si>
  <si>
    <t>P02</t>
  </si>
  <si>
    <t>Sort/group issues by High, Medium, Low and explain why contract and status differences matter.</t>
  </si>
  <si>
    <t>P03</t>
  </si>
  <si>
    <t>Summarize total issues, high-priority issues, affected plants, and recommended next steps.</t>
  </si>
  <si>
    <t>P04</t>
  </si>
  <si>
    <t>Summarize the technical email notes and tell me which fleet records need updates.</t>
  </si>
  <si>
    <t>Extract conclusions from email notes and connect them to P003, P005, and P008.</t>
  </si>
  <si>
    <t>P05</t>
  </si>
  <si>
    <t>Explain why contract end-date mismatches are high priority for fleet reporting.</t>
  </si>
  <si>
    <t>Explain maintenance planning, long-term contracts, reporting accuracy, and system synchronization.</t>
  </si>
  <si>
    <t>Fleet Data Quality Manager Report</t>
  </si>
  <si>
    <t>Metric</t>
  </si>
  <si>
    <t>Value</t>
  </si>
  <si>
    <t>Issue Count</t>
  </si>
  <si>
    <t>Suggested Management Focus</t>
  </si>
  <si>
    <t>Total detected issues</t>
  </si>
  <si>
    <t>Validate contract dates before external/internal fleet reporting.</t>
  </si>
  <si>
    <t>High priority issues</t>
  </si>
  <si>
    <t>Clarify status and ownership mismatches with responsible teams.</t>
  </si>
  <si>
    <t>Medium priority issues</t>
  </si>
  <si>
    <t>Standardize names and labels to avoid duplicate records.</t>
  </si>
  <si>
    <t>Low priority issues</t>
  </si>
  <si>
    <t>Open issues</t>
  </si>
  <si>
    <t>Short Manager Summary</t>
  </si>
  <si>
    <t>This synthetic demo identifies eight fleet data quality issues across two sample systems. High-priority mismatches mainly concern contract end dates, because they can influence fleet reporting, maintenance planning, and contract visibility.</t>
  </si>
  <si>
    <t>Recommended next step: validate high-priority contract differences with responsible owners, then synchronize both systems before producing the final fleet report.</t>
  </si>
  <si>
    <t>This is a prototype dataset for demonstrating Copilot Studio and AI-supported data reconciliation. It does not contain real company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</si>
</sst>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111827"/>
      <name val="Aptos"/>
    </font>
    <font>
      <sz val="10"/>
      <color rgb="FF111827"/>
      <name val="Aptos"/>
    </font>
    <font>
      <b/>
      <sz val="14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/>
    <xf numFmtId="0" fontId="4" fillId="4" borderId="0" xfId="0" applyFont="1" applyFill="1" applyAlignment="1">
      <alignment vertical="top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854D0E"/>
      </font>
      <fill>
        <patternFill patternType="solid">
          <bgColor rgb="FFFEF9C3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US"/>
              <a:t>Issues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Issue Count</c:v>
          </c:tx>
          <c:invertIfNegative val="1"/>
          <c:cat>
            <c:strRef>
              <c:f>Manager_Report!$D$4:$D$6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Manager_Report!$E$4:$E$6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3-4D70-A9AF-01F14137F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stemATable" displayName="SystemATable" ref="A1:J9">
  <tableColumns count="10">
    <tableColumn id="1" xr3:uid="{00000000-0010-0000-0000-000001000000}" name="Plant_ID"/>
    <tableColumn id="2" xr3:uid="{00000000-0010-0000-0000-000002000000}" name="Plant_Name"/>
    <tableColumn id="3" xr3:uid="{00000000-0010-0000-0000-000003000000}" name="Country"/>
    <tableColumn id="4" xr3:uid="{00000000-0010-0000-0000-000004000000}" name="Region"/>
    <tableColumn id="5" xr3:uid="{00000000-0010-0000-0000-000005000000}" name="Technology"/>
    <tableColumn id="6" xr3:uid="{00000000-0010-0000-0000-000006000000}" name="Turbine_Type"/>
    <tableColumn id="7" xr3:uid="{00000000-0010-0000-0000-000007000000}" name="Contract_End"/>
    <tableColumn id="8" xr3:uid="{00000000-0010-0000-0000-000008000000}" name="Status"/>
    <tableColumn id="9" xr3:uid="{00000000-0010-0000-0000-000009000000}" name="Responsible_Team"/>
    <tableColumn id="10" xr3:uid="{00000000-0010-0000-0000-00000A000000}" name="Last_Up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ystemBTable" displayName="SystemBTable" ref="A1:J9">
  <tableColumns count="10">
    <tableColumn id="1" xr3:uid="{00000000-0010-0000-0100-000001000000}" name="Plant_ID"/>
    <tableColumn id="2" xr3:uid="{00000000-0010-0000-0100-000002000000}" name="Plant_Name"/>
    <tableColumn id="3" xr3:uid="{00000000-0010-0000-0100-000003000000}" name="Country"/>
    <tableColumn id="4" xr3:uid="{00000000-0010-0000-0100-000004000000}" name="Region"/>
    <tableColumn id="5" xr3:uid="{00000000-0010-0000-0100-000005000000}" name="Technology"/>
    <tableColumn id="6" xr3:uid="{00000000-0010-0000-0100-000006000000}" name="Turbine_Type"/>
    <tableColumn id="7" xr3:uid="{00000000-0010-0000-0100-000007000000}" name="Contract_End"/>
    <tableColumn id="8" xr3:uid="{00000000-0010-0000-0100-000008000000}" name="Status"/>
    <tableColumn id="9" xr3:uid="{00000000-0010-0000-0100-000009000000}" name="Responsible_Team"/>
    <tableColumn id="10" xr3:uid="{00000000-0010-0000-0100-00000A000000}" name="Last_Up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ssuesTable" displayName="IssuesTable" ref="A1:J9">
  <tableColumns count="10">
    <tableColumn id="1" xr3:uid="{00000000-0010-0000-0200-000001000000}" name="Issue_ID"/>
    <tableColumn id="2" xr3:uid="{00000000-0010-0000-0200-000002000000}" name="Plant_ID"/>
    <tableColumn id="3" xr3:uid="{00000000-0010-0000-0200-000003000000}" name="Field"/>
    <tableColumn id="4" xr3:uid="{00000000-0010-0000-0200-000004000000}" name="System_A_Value"/>
    <tableColumn id="5" xr3:uid="{00000000-0010-0000-0200-000005000000}" name="System_B_Value"/>
    <tableColumn id="6" xr3:uid="{00000000-0010-0000-0200-000006000000}" name="Priority"/>
    <tableColumn id="7" xr3:uid="{00000000-0010-0000-0200-000007000000}" name="Business_Impact"/>
    <tableColumn id="8" xr3:uid="{00000000-0010-0000-0200-000008000000}" name="Recommended_Action"/>
    <tableColumn id="9" xr3:uid="{00000000-0010-0000-0200-000009000000}" name="Owner"/>
    <tableColumn id="10" xr3:uid="{00000000-0010-0000-0200-00000A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mailNotesTable" displayName="EmailNotesTable" ref="A1:G4">
  <tableColumns count="7">
    <tableColumn id="1" xr3:uid="{00000000-0010-0000-0300-000001000000}" name="Email_ID"/>
    <tableColumn id="2" xr3:uid="{00000000-0010-0000-0300-000002000000}" name="From"/>
    <tableColumn id="3" xr3:uid="{00000000-0010-0000-0300-000003000000}" name="Subject"/>
    <tableColumn id="4" xr3:uid="{00000000-0010-0000-0300-000004000000}" name="Date"/>
    <tableColumn id="5" xr3:uid="{00000000-0010-0000-0300-000005000000}" name="Relevant_Plant_ID"/>
    <tableColumn id="6" xr3:uid="{00000000-0010-0000-0300-000006000000}" name="Email_Text"/>
    <tableColumn id="7" xr3:uid="{00000000-0010-0000-0300-000007000000}" name="Expected_Copilot_Conclu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mptsTable" displayName="PromptsTable" ref="A1:C6">
  <tableColumns count="3">
    <tableColumn id="1" xr3:uid="{00000000-0010-0000-0400-000001000000}" name="Prompt_ID"/>
    <tableColumn id="2" xr3:uid="{00000000-0010-0000-0400-000002000000}" name="Prompt_to_Show_in_Interview"/>
    <tableColumn id="3" xr3:uid="{00000000-0010-0000-0400-000003000000}" name="What_Good_Answer_Should_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D12" sqref="D12"/>
    </sheetView>
  </sheetViews>
  <sheetFormatPr defaultRowHeight="15" x14ac:dyDescent="0.25"/>
  <cols>
    <col min="1" max="1" width="24" customWidth="1"/>
    <col min="2" max="8" width="20" customWidth="1"/>
  </cols>
  <sheetData>
    <row r="1" spans="1:26" ht="16.7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8.44999999999999" customHeight="1" x14ac:dyDescent="0.25">
      <c r="A3" s="5" t="s">
        <v>1</v>
      </c>
      <c r="B3" s="9" t="s">
        <v>2</v>
      </c>
      <c r="C3" s="9"/>
      <c r="D3" s="9"/>
      <c r="E3" s="9"/>
      <c r="F3" s="9"/>
      <c r="G3" s="9"/>
      <c r="H3" s="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2.7" customHeight="1" x14ac:dyDescent="0.25">
      <c r="A4" s="5" t="s">
        <v>3</v>
      </c>
      <c r="B4" s="9" t="s">
        <v>4</v>
      </c>
      <c r="C4" s="9"/>
      <c r="D4" s="9"/>
      <c r="E4" s="9"/>
      <c r="F4" s="9"/>
      <c r="G4" s="9"/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6" customHeight="1" x14ac:dyDescent="0.25">
      <c r="A5" s="5" t="s">
        <v>5</v>
      </c>
      <c r="B5" s="9" t="s">
        <v>6</v>
      </c>
      <c r="C5" s="9"/>
      <c r="D5" s="9"/>
      <c r="E5" s="9"/>
      <c r="F5" s="9"/>
      <c r="G5" s="9"/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6" customHeight="1" x14ac:dyDescent="0.25">
      <c r="A6" s="5" t="s">
        <v>7</v>
      </c>
      <c r="B6" s="9" t="s">
        <v>8</v>
      </c>
      <c r="C6" s="9"/>
      <c r="D6" s="9"/>
      <c r="E6" s="9"/>
      <c r="F6" s="9"/>
      <c r="G6" s="9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9.6" customHeight="1" x14ac:dyDescent="0.25">
      <c r="A7" s="5" t="s">
        <v>9</v>
      </c>
      <c r="B7" s="9" t="s">
        <v>10</v>
      </c>
      <c r="C7" s="9"/>
      <c r="D7" s="9"/>
      <c r="E7" s="9"/>
      <c r="F7" s="9"/>
      <c r="G7" s="9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2.7" customHeight="1" x14ac:dyDescent="0.25">
      <c r="A8" s="5" t="s">
        <v>11</v>
      </c>
      <c r="B8" s="9" t="s">
        <v>12</v>
      </c>
      <c r="C8" s="9"/>
      <c r="D8" s="9"/>
      <c r="E8" s="9"/>
      <c r="F8" s="9"/>
      <c r="G8" s="9"/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45" customHeight="1" x14ac:dyDescent="0.25">
      <c r="A9" s="5" t="s">
        <v>13</v>
      </c>
      <c r="B9" s="9" t="s">
        <v>14</v>
      </c>
      <c r="C9" s="9"/>
      <c r="D9" s="9"/>
      <c r="E9" s="9"/>
      <c r="F9" s="9"/>
      <c r="G9" s="9"/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8">
    <mergeCell ref="B7:H7"/>
    <mergeCell ref="B8:H8"/>
    <mergeCell ref="B9:H9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5" x14ac:dyDescent="0.25"/>
  <cols>
    <col min="1" max="1" width="9.5" customWidth="1"/>
    <col min="2" max="2" width="20" customWidth="1"/>
    <col min="3" max="3" width="9.125" customWidth="1"/>
    <col min="4" max="4" width="8.25" customWidth="1"/>
    <col min="5" max="5" width="11.625" customWidth="1"/>
    <col min="6" max="6" width="13.375" customWidth="1"/>
    <col min="7" max="7" width="13.25" customWidth="1"/>
    <col min="8" max="8" width="7.75" customWidth="1"/>
    <col min="9" max="9" width="18" customWidth="1"/>
    <col min="10" max="10" width="12.625" customWidth="1"/>
  </cols>
  <sheetData>
    <row r="1" spans="1:26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>
        <v>46934</v>
      </c>
      <c r="H2" s="2" t="s">
        <v>31</v>
      </c>
      <c r="I2" s="2" t="s">
        <v>32</v>
      </c>
      <c r="J2" s="3">
        <v>46177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29</v>
      </c>
      <c r="F3" s="2" t="s">
        <v>37</v>
      </c>
      <c r="G3" s="3">
        <v>46752</v>
      </c>
      <c r="H3" s="2" t="s">
        <v>31</v>
      </c>
      <c r="I3" s="2" t="s">
        <v>38</v>
      </c>
      <c r="J3" s="3">
        <v>46168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39</v>
      </c>
      <c r="B4" s="2" t="s">
        <v>40</v>
      </c>
      <c r="C4" s="2" t="s">
        <v>41</v>
      </c>
      <c r="D4" s="2" t="s">
        <v>36</v>
      </c>
      <c r="E4" s="2" t="s">
        <v>42</v>
      </c>
      <c r="F4" s="2" t="s">
        <v>43</v>
      </c>
      <c r="G4" s="3">
        <v>46295</v>
      </c>
      <c r="H4" s="2" t="s">
        <v>44</v>
      </c>
      <c r="I4" s="2" t="s">
        <v>38</v>
      </c>
      <c r="J4" s="3">
        <v>46160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45</v>
      </c>
      <c r="B5" s="2" t="s">
        <v>46</v>
      </c>
      <c r="C5" s="2" t="s">
        <v>27</v>
      </c>
      <c r="D5" s="2" t="s">
        <v>28</v>
      </c>
      <c r="E5" s="2" t="s">
        <v>47</v>
      </c>
      <c r="F5" s="2" t="s">
        <v>48</v>
      </c>
      <c r="G5" s="3">
        <v>47208</v>
      </c>
      <c r="H5" s="2" t="s">
        <v>31</v>
      </c>
      <c r="I5" s="2" t="s">
        <v>32</v>
      </c>
      <c r="J5" s="3">
        <v>46180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49</v>
      </c>
      <c r="B6" s="2" t="s">
        <v>50</v>
      </c>
      <c r="C6" s="2" t="s">
        <v>51</v>
      </c>
      <c r="D6" s="2" t="s">
        <v>28</v>
      </c>
      <c r="E6" s="2" t="s">
        <v>29</v>
      </c>
      <c r="F6" s="2" t="s">
        <v>52</v>
      </c>
      <c r="G6" s="3">
        <v>46022</v>
      </c>
      <c r="H6" s="2" t="s">
        <v>53</v>
      </c>
      <c r="I6" s="2" t="s">
        <v>32</v>
      </c>
      <c r="J6" s="3">
        <v>46141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54</v>
      </c>
      <c r="B7" s="2" t="s">
        <v>55</v>
      </c>
      <c r="C7" s="2" t="s">
        <v>56</v>
      </c>
      <c r="D7" s="2" t="s">
        <v>36</v>
      </c>
      <c r="E7" s="2" t="s">
        <v>42</v>
      </c>
      <c r="F7" s="2" t="s">
        <v>57</v>
      </c>
      <c r="G7" s="3">
        <v>47087</v>
      </c>
      <c r="H7" s="2" t="s">
        <v>31</v>
      </c>
      <c r="I7" s="2" t="s">
        <v>38</v>
      </c>
      <c r="J7" s="3">
        <v>46174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58</v>
      </c>
      <c r="B8" s="2" t="s">
        <v>59</v>
      </c>
      <c r="C8" s="2" t="s">
        <v>27</v>
      </c>
      <c r="D8" s="2" t="s">
        <v>28</v>
      </c>
      <c r="E8" s="2" t="s">
        <v>60</v>
      </c>
      <c r="F8" s="2" t="s">
        <v>61</v>
      </c>
      <c r="G8" s="3">
        <v>47726</v>
      </c>
      <c r="H8" s="2" t="s">
        <v>31</v>
      </c>
      <c r="I8" s="2" t="s">
        <v>32</v>
      </c>
      <c r="J8" s="3">
        <v>46181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62</v>
      </c>
      <c r="B9" s="2" t="s">
        <v>63</v>
      </c>
      <c r="C9" s="2" t="s">
        <v>41</v>
      </c>
      <c r="D9" s="2" t="s">
        <v>36</v>
      </c>
      <c r="E9" s="2" t="s">
        <v>29</v>
      </c>
      <c r="F9" s="2" t="s">
        <v>37</v>
      </c>
      <c r="G9" s="3">
        <v>47422</v>
      </c>
      <c r="H9" s="2" t="s">
        <v>31</v>
      </c>
      <c r="I9" s="2" t="s">
        <v>38</v>
      </c>
      <c r="J9" s="3">
        <v>46172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5" x14ac:dyDescent="0.25"/>
  <cols>
    <col min="1" max="1" width="9.5" customWidth="1"/>
    <col min="2" max="2" width="20" customWidth="1"/>
    <col min="3" max="3" width="9.125" customWidth="1"/>
    <col min="4" max="4" width="8.25" customWidth="1"/>
    <col min="5" max="5" width="11.625" customWidth="1"/>
    <col min="6" max="6" width="13.375" customWidth="1"/>
    <col min="7" max="7" width="13.25" customWidth="1"/>
    <col min="8" max="8" width="10.375" customWidth="1"/>
    <col min="9" max="9" width="18" customWidth="1"/>
    <col min="10" max="10" width="12.625" customWidth="1"/>
  </cols>
  <sheetData>
    <row r="1" spans="1:26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>
        <v>47026</v>
      </c>
      <c r="H2" s="2" t="s">
        <v>31</v>
      </c>
      <c r="I2" s="2" t="s">
        <v>32</v>
      </c>
      <c r="J2" s="3">
        <v>46178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29</v>
      </c>
      <c r="F3" s="2" t="s">
        <v>37</v>
      </c>
      <c r="G3" s="3">
        <v>46752</v>
      </c>
      <c r="H3" s="2" t="s">
        <v>31</v>
      </c>
      <c r="I3" s="2" t="s">
        <v>38</v>
      </c>
      <c r="J3" s="3">
        <v>46168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39</v>
      </c>
      <c r="B4" s="2" t="s">
        <v>64</v>
      </c>
      <c r="C4" s="2" t="s">
        <v>41</v>
      </c>
      <c r="D4" s="2" t="s">
        <v>36</v>
      </c>
      <c r="E4" s="2" t="s">
        <v>42</v>
      </c>
      <c r="F4" s="2" t="s">
        <v>43</v>
      </c>
      <c r="G4" s="3">
        <v>47756</v>
      </c>
      <c r="H4" s="2" t="s">
        <v>31</v>
      </c>
      <c r="I4" s="2" t="s">
        <v>38</v>
      </c>
      <c r="J4" s="3">
        <v>46175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45</v>
      </c>
      <c r="B5" s="2" t="s">
        <v>46</v>
      </c>
      <c r="C5" s="2" t="s">
        <v>27</v>
      </c>
      <c r="D5" s="2" t="s">
        <v>28</v>
      </c>
      <c r="E5" s="2" t="s">
        <v>47</v>
      </c>
      <c r="F5" s="2" t="s">
        <v>48</v>
      </c>
      <c r="G5" s="3">
        <v>47208</v>
      </c>
      <c r="H5" s="2" t="s">
        <v>31</v>
      </c>
      <c r="I5" s="2" t="s">
        <v>32</v>
      </c>
      <c r="J5" s="3">
        <v>46180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49</v>
      </c>
      <c r="B6" s="2" t="s">
        <v>50</v>
      </c>
      <c r="C6" s="2" t="s">
        <v>51</v>
      </c>
      <c r="D6" s="2" t="s">
        <v>28</v>
      </c>
      <c r="E6" s="2" t="s">
        <v>29</v>
      </c>
      <c r="F6" s="2" t="s">
        <v>52</v>
      </c>
      <c r="G6" s="3">
        <v>46387</v>
      </c>
      <c r="H6" s="2" t="s">
        <v>31</v>
      </c>
      <c r="I6" s="2" t="s">
        <v>32</v>
      </c>
      <c r="J6" s="3">
        <v>46176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54</v>
      </c>
      <c r="B7" s="2" t="s">
        <v>55</v>
      </c>
      <c r="C7" s="2" t="s">
        <v>56</v>
      </c>
      <c r="D7" s="2" t="s">
        <v>36</v>
      </c>
      <c r="E7" s="2" t="s">
        <v>42</v>
      </c>
      <c r="F7" s="2" t="s">
        <v>57</v>
      </c>
      <c r="G7" s="3">
        <v>47087</v>
      </c>
      <c r="H7" s="2" t="s">
        <v>31</v>
      </c>
      <c r="I7" s="2" t="s">
        <v>65</v>
      </c>
      <c r="J7" s="3">
        <v>46174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58</v>
      </c>
      <c r="B8" s="2" t="s">
        <v>59</v>
      </c>
      <c r="C8" s="2" t="s">
        <v>27</v>
      </c>
      <c r="D8" s="2" t="s">
        <v>28</v>
      </c>
      <c r="E8" s="2" t="s">
        <v>60</v>
      </c>
      <c r="F8" s="2" t="s">
        <v>61</v>
      </c>
      <c r="G8" s="3">
        <v>47726</v>
      </c>
      <c r="H8" s="2" t="s">
        <v>31</v>
      </c>
      <c r="I8" s="2" t="s">
        <v>32</v>
      </c>
      <c r="J8" s="3">
        <v>46181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62</v>
      </c>
      <c r="B9" s="2" t="s">
        <v>63</v>
      </c>
      <c r="C9" s="2" t="s">
        <v>41</v>
      </c>
      <c r="D9" s="2" t="s">
        <v>36</v>
      </c>
      <c r="E9" s="2" t="s">
        <v>29</v>
      </c>
      <c r="F9" s="2" t="s">
        <v>37</v>
      </c>
      <c r="G9" s="3">
        <v>47422</v>
      </c>
      <c r="H9" s="2" t="s">
        <v>66</v>
      </c>
      <c r="I9" s="2" t="s">
        <v>38</v>
      </c>
      <c r="J9" s="3">
        <v>46179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5" x14ac:dyDescent="0.25"/>
  <cols>
    <col min="1" max="2" width="9.5" customWidth="1"/>
    <col min="3" max="3" width="14.375" customWidth="1"/>
    <col min="4" max="5" width="15.625" customWidth="1"/>
    <col min="6" max="6" width="8.75" customWidth="1"/>
    <col min="7" max="8" width="40" customWidth="1"/>
    <col min="9" max="9" width="11.625" customWidth="1"/>
    <col min="10" max="10" width="7.75" customWidth="1"/>
  </cols>
  <sheetData>
    <row r="1" spans="1:26" x14ac:dyDescent="0.25">
      <c r="A1" s="1" t="s">
        <v>67</v>
      </c>
      <c r="B1" s="1" t="s">
        <v>15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22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x14ac:dyDescent="0.25">
      <c r="A2" s="2" t="s">
        <v>75</v>
      </c>
      <c r="B2" s="2" t="s">
        <v>25</v>
      </c>
      <c r="C2" s="2" t="s">
        <v>21</v>
      </c>
      <c r="D2" s="2" t="s">
        <v>76</v>
      </c>
      <c r="E2" s="2" t="s">
        <v>77</v>
      </c>
      <c r="F2" s="2" t="s">
        <v>78</v>
      </c>
      <c r="G2" s="4" t="s">
        <v>79</v>
      </c>
      <c r="H2" s="4" t="s">
        <v>80</v>
      </c>
      <c r="I2" s="2" t="s">
        <v>32</v>
      </c>
      <c r="J2" s="2" t="s">
        <v>81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" x14ac:dyDescent="0.25">
      <c r="A3" s="2" t="s">
        <v>82</v>
      </c>
      <c r="B3" s="2" t="s">
        <v>39</v>
      </c>
      <c r="C3" s="2" t="s">
        <v>16</v>
      </c>
      <c r="D3" s="2" t="s">
        <v>40</v>
      </c>
      <c r="E3" s="2" t="s">
        <v>64</v>
      </c>
      <c r="F3" s="2" t="s">
        <v>83</v>
      </c>
      <c r="G3" s="4" t="s">
        <v>84</v>
      </c>
      <c r="H3" s="4" t="s">
        <v>85</v>
      </c>
      <c r="I3" s="2" t="s">
        <v>38</v>
      </c>
      <c r="J3" s="2" t="s">
        <v>81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x14ac:dyDescent="0.25">
      <c r="A4" s="2" t="s">
        <v>86</v>
      </c>
      <c r="B4" s="2" t="s">
        <v>39</v>
      </c>
      <c r="C4" s="2" t="s">
        <v>21</v>
      </c>
      <c r="D4" s="2" t="s">
        <v>87</v>
      </c>
      <c r="E4" s="2" t="s">
        <v>88</v>
      </c>
      <c r="F4" s="2" t="s">
        <v>78</v>
      </c>
      <c r="G4" s="4" t="s">
        <v>89</v>
      </c>
      <c r="H4" s="4" t="s">
        <v>90</v>
      </c>
      <c r="I4" s="2" t="s">
        <v>38</v>
      </c>
      <c r="J4" s="2" t="s">
        <v>81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 x14ac:dyDescent="0.25">
      <c r="A5" s="2" t="s">
        <v>91</v>
      </c>
      <c r="B5" s="2" t="s">
        <v>39</v>
      </c>
      <c r="C5" s="2" t="s">
        <v>22</v>
      </c>
      <c r="D5" s="2" t="s">
        <v>44</v>
      </c>
      <c r="E5" s="2" t="s">
        <v>31</v>
      </c>
      <c r="F5" s="2" t="s">
        <v>92</v>
      </c>
      <c r="G5" s="4" t="s">
        <v>93</v>
      </c>
      <c r="H5" s="4" t="s">
        <v>94</v>
      </c>
      <c r="I5" s="2" t="s">
        <v>38</v>
      </c>
      <c r="J5" s="2" t="s">
        <v>81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 x14ac:dyDescent="0.25">
      <c r="A6" s="2" t="s">
        <v>95</v>
      </c>
      <c r="B6" s="2" t="s">
        <v>49</v>
      </c>
      <c r="C6" s="2" t="s">
        <v>21</v>
      </c>
      <c r="D6" s="2" t="s">
        <v>96</v>
      </c>
      <c r="E6" s="2" t="s">
        <v>97</v>
      </c>
      <c r="F6" s="2" t="s">
        <v>78</v>
      </c>
      <c r="G6" s="4" t="s">
        <v>98</v>
      </c>
      <c r="H6" s="4" t="s">
        <v>99</v>
      </c>
      <c r="I6" s="2" t="s">
        <v>32</v>
      </c>
      <c r="J6" s="2" t="s">
        <v>81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 x14ac:dyDescent="0.25">
      <c r="A7" s="2" t="s">
        <v>100</v>
      </c>
      <c r="B7" s="2" t="s">
        <v>49</v>
      </c>
      <c r="C7" s="2" t="s">
        <v>22</v>
      </c>
      <c r="D7" s="2" t="s">
        <v>53</v>
      </c>
      <c r="E7" s="2" t="s">
        <v>31</v>
      </c>
      <c r="F7" s="2" t="s">
        <v>92</v>
      </c>
      <c r="G7" s="4" t="s">
        <v>101</v>
      </c>
      <c r="H7" s="4" t="s">
        <v>102</v>
      </c>
      <c r="I7" s="2" t="s">
        <v>32</v>
      </c>
      <c r="J7" s="2" t="s">
        <v>81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 x14ac:dyDescent="0.25">
      <c r="A8" s="2" t="s">
        <v>103</v>
      </c>
      <c r="B8" s="2" t="s">
        <v>54</v>
      </c>
      <c r="C8" s="2" t="s">
        <v>23</v>
      </c>
      <c r="D8" s="2" t="s">
        <v>38</v>
      </c>
      <c r="E8" s="2" t="s">
        <v>65</v>
      </c>
      <c r="F8" s="2" t="s">
        <v>92</v>
      </c>
      <c r="G8" s="4" t="s">
        <v>104</v>
      </c>
      <c r="H8" s="4" t="s">
        <v>105</v>
      </c>
      <c r="I8" s="2" t="s">
        <v>38</v>
      </c>
      <c r="J8" s="2" t="s">
        <v>81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x14ac:dyDescent="0.25">
      <c r="A9" s="2" t="s">
        <v>106</v>
      </c>
      <c r="B9" s="2" t="s">
        <v>62</v>
      </c>
      <c r="C9" s="2" t="s">
        <v>22</v>
      </c>
      <c r="D9" s="2" t="s">
        <v>31</v>
      </c>
      <c r="E9" s="2" t="s">
        <v>66</v>
      </c>
      <c r="F9" s="2" t="s">
        <v>92</v>
      </c>
      <c r="G9" s="4" t="s">
        <v>107</v>
      </c>
      <c r="H9" s="4" t="s">
        <v>108</v>
      </c>
      <c r="I9" s="2" t="s">
        <v>38</v>
      </c>
      <c r="J9" s="2" t="s">
        <v>81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conditionalFormatting sqref="F2:F9">
    <cfRule type="expression" dxfId="2" priority="1">
      <formula>F2="High"</formula>
    </cfRule>
    <cfRule type="expression" dxfId="1" priority="2">
      <formula>F2="Medium"</formula>
    </cfRule>
    <cfRule type="expression" dxfId="0" priority="3">
      <formula>F2="Low"</formula>
    </cfRule>
  </conditionalFormatting>
  <dataValidations count="2">
    <dataValidation type="list" sqref="F2:F9" xr:uid="{00000000-0002-0000-0300-000000000000}">
      <formula1>"High,Medium,Low"</formula1>
    </dataValidation>
    <dataValidation type="list" sqref="J2:J9" xr:uid="{00000000-0002-0000-0300-000001000000}">
      <formula1>"Open,In Review,Resolved"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5" x14ac:dyDescent="0.25"/>
  <cols>
    <col min="1" max="1" width="9.75" customWidth="1"/>
    <col min="2" max="2" width="25.375" customWidth="1"/>
    <col min="3" max="3" width="36.875" customWidth="1"/>
    <col min="4" max="4" width="9.125" customWidth="1"/>
    <col min="5" max="5" width="17.125" customWidth="1"/>
    <col min="6" max="7" width="45" customWidth="1"/>
  </cols>
  <sheetData>
    <row r="1" spans="1:26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5" x14ac:dyDescent="0.25">
      <c r="A2" s="2" t="s">
        <v>116</v>
      </c>
      <c r="B2" s="2" t="s">
        <v>117</v>
      </c>
      <c r="C2" s="2" t="s">
        <v>118</v>
      </c>
      <c r="D2" s="3">
        <v>46178</v>
      </c>
      <c r="E2" s="2" t="s">
        <v>39</v>
      </c>
      <c r="F2" s="4" t="s">
        <v>119</v>
      </c>
      <c r="G2" s="4" t="s">
        <v>120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0.5" x14ac:dyDescent="0.25">
      <c r="A3" s="2" t="s">
        <v>121</v>
      </c>
      <c r="B3" s="2" t="s">
        <v>122</v>
      </c>
      <c r="C3" s="2" t="s">
        <v>123</v>
      </c>
      <c r="D3" s="3">
        <v>46179</v>
      </c>
      <c r="E3" s="2" t="s">
        <v>62</v>
      </c>
      <c r="F3" s="4" t="s">
        <v>124</v>
      </c>
      <c r="G3" s="4" t="s">
        <v>125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0.5" x14ac:dyDescent="0.25">
      <c r="A4" s="2" t="s">
        <v>126</v>
      </c>
      <c r="B4" s="2" t="s">
        <v>127</v>
      </c>
      <c r="C4" s="2" t="s">
        <v>128</v>
      </c>
      <c r="D4" s="3">
        <v>46176</v>
      </c>
      <c r="E4" s="2" t="s">
        <v>49</v>
      </c>
      <c r="F4" s="4" t="s">
        <v>129</v>
      </c>
      <c r="G4" s="4" t="s">
        <v>130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5" x14ac:dyDescent="0.25"/>
  <cols>
    <col min="1" max="1" width="12" customWidth="1"/>
    <col min="2" max="3" width="50" customWidth="1"/>
  </cols>
  <sheetData>
    <row r="1" spans="1:26" x14ac:dyDescent="0.25">
      <c r="A1" s="1" t="s">
        <v>131</v>
      </c>
      <c r="B1" s="1" t="s">
        <v>132</v>
      </c>
      <c r="C1" s="1" t="s">
        <v>133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x14ac:dyDescent="0.25">
      <c r="A2" s="2" t="s">
        <v>134</v>
      </c>
      <c r="B2" s="4" t="s">
        <v>135</v>
      </c>
      <c r="C2" s="4" t="s">
        <v>136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" x14ac:dyDescent="0.25">
      <c r="A3" s="2" t="s">
        <v>137</v>
      </c>
      <c r="B3" s="4" t="s">
        <v>8</v>
      </c>
      <c r="C3" s="4" t="s">
        <v>138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x14ac:dyDescent="0.25">
      <c r="A4" s="2" t="s">
        <v>139</v>
      </c>
      <c r="B4" s="4" t="s">
        <v>10</v>
      </c>
      <c r="C4" s="4" t="s">
        <v>140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 x14ac:dyDescent="0.25">
      <c r="A5" s="2" t="s">
        <v>141</v>
      </c>
      <c r="B5" s="4" t="s">
        <v>142</v>
      </c>
      <c r="C5" s="4" t="s">
        <v>143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 x14ac:dyDescent="0.25">
      <c r="A6" s="2" t="s">
        <v>144</v>
      </c>
      <c r="B6" s="4" t="s">
        <v>145</v>
      </c>
      <c r="C6" s="4" t="s">
        <v>146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tabSelected="1" workbookViewId="0">
      <selection activeCell="H9" sqref="H9"/>
    </sheetView>
  </sheetViews>
  <sheetFormatPr defaultRowHeight="15" x14ac:dyDescent="0.25"/>
  <cols>
    <col min="1" max="1" width="34.375" customWidth="1"/>
    <col min="2" max="2" width="8.125" customWidth="1"/>
    <col min="4" max="4" width="7" customWidth="1"/>
    <col min="5" max="5" width="9.375" customWidth="1"/>
    <col min="6" max="6" width="46" customWidth="1"/>
  </cols>
  <sheetData>
    <row r="1" spans="1:26" ht="16.7" customHeight="1" x14ac:dyDescent="0.25">
      <c r="A1" s="7" t="s">
        <v>147</v>
      </c>
      <c r="B1" s="8"/>
      <c r="C1" s="8"/>
      <c r="D1" s="8"/>
      <c r="E1" s="8"/>
      <c r="F1" s="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5.25" customHeight="1" x14ac:dyDescent="0.25">
      <c r="A3" s="1" t="s">
        <v>148</v>
      </c>
      <c r="B3" s="1" t="s">
        <v>149</v>
      </c>
      <c r="C3" s="2"/>
      <c r="D3" s="1" t="s">
        <v>71</v>
      </c>
      <c r="E3" s="1" t="s">
        <v>150</v>
      </c>
      <c r="F3" s="1" t="s">
        <v>151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45" customHeight="1" x14ac:dyDescent="0.25">
      <c r="A4" s="5" t="s">
        <v>152</v>
      </c>
      <c r="B4" s="6">
        <f>COUNTA(Detected_Issues!A2:A100)</f>
        <v>8</v>
      </c>
      <c r="C4" s="2"/>
      <c r="D4" s="5" t="s">
        <v>78</v>
      </c>
      <c r="E4" s="2">
        <f>COUNTIF(Detected_Issues!F2:F100,D4)</f>
        <v>3</v>
      </c>
      <c r="F4" s="4" t="s">
        <v>153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.45" customHeight="1" x14ac:dyDescent="0.25">
      <c r="A5" s="5" t="s">
        <v>154</v>
      </c>
      <c r="B5" s="6">
        <f>COUNTIF(Detected_Issues!F2:F100,"High")</f>
        <v>3</v>
      </c>
      <c r="C5" s="2"/>
      <c r="D5" s="5" t="s">
        <v>92</v>
      </c>
      <c r="E5" s="2">
        <f>COUNTIF(Detected_Issues!F2:F100,D5)</f>
        <v>4</v>
      </c>
      <c r="F5" s="4" t="s">
        <v>155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5">
      <c r="A6" s="5" t="s">
        <v>156</v>
      </c>
      <c r="B6" s="6">
        <f>COUNTIF(Detected_Issues!F2:F100,"Medium")</f>
        <v>4</v>
      </c>
      <c r="C6" s="2"/>
      <c r="D6" s="5" t="s">
        <v>83</v>
      </c>
      <c r="E6" s="2">
        <f>COUNTIF(Detected_Issues!F2:F100,D6)</f>
        <v>1</v>
      </c>
      <c r="F6" s="4" t="s">
        <v>157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5">
      <c r="A7" s="5" t="s">
        <v>158</v>
      </c>
      <c r="B7" s="6">
        <f>COUNTIF(Detected_Issues!F2:F100,"Low")</f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5" t="s">
        <v>159</v>
      </c>
      <c r="B8" s="6">
        <f>COUNTIF(Detected_Issues!J2:J100,"Open")</f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10" t="s">
        <v>160</v>
      </c>
      <c r="B10" s="8"/>
      <c r="C10" s="8"/>
      <c r="D10" s="8"/>
      <c r="E10" s="8"/>
      <c r="F10" s="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9.150000000000006" customHeight="1" x14ac:dyDescent="0.25">
      <c r="A11" s="9" t="s">
        <v>161</v>
      </c>
      <c r="B11" s="9"/>
      <c r="C11" s="9"/>
      <c r="D11" s="9"/>
      <c r="E11" s="9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66" customHeight="1" x14ac:dyDescent="0.25">
      <c r="A12" s="9" t="s">
        <v>162</v>
      </c>
      <c r="B12" s="9"/>
      <c r="C12" s="9"/>
      <c r="D12" s="9"/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2.7" customHeight="1" x14ac:dyDescent="0.25">
      <c r="A13" s="9" t="s">
        <v>163</v>
      </c>
      <c r="B13" s="9"/>
      <c r="C13" s="9"/>
      <c r="D13" s="9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5">
      <c r="A14" s="6"/>
      <c r="B14" s="6"/>
      <c r="C14" s="6"/>
      <c r="D14" s="6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5">
    <mergeCell ref="A1:F1"/>
    <mergeCell ref="A10:F10"/>
    <mergeCell ref="A11:F11"/>
    <mergeCell ref="A12:F12"/>
    <mergeCell ref="A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System_A_Fleet_Master</vt:lpstr>
      <vt:lpstr>System_B_Contract_Data</vt:lpstr>
      <vt:lpstr>Detected_Issues</vt:lpstr>
      <vt:lpstr>Technical_Email_Notes</vt:lpstr>
      <vt:lpstr>Demo_Prompts</vt:lpstr>
      <vt:lpstr>Manager_Report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Hegab</cp:lastModifiedBy>
  <dcterms:modified xsi:type="dcterms:W3CDTF">2026-06-19T19:44:10Z</dcterms:modified>
</cp:coreProperties>
</file>